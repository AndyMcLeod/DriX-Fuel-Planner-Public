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urance Data EM2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NM / LITER vs. SOG - KNOTS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285F4"/>
            </a:solidFill>
            <a:ln xmlns:a="http://schemas.openxmlformats.org/drawingml/2006/main">
              <a:prstDash val="solid"/>
            </a:ln>
          </spPr>
          <cat>
            <numRef>
              <f>'Endurance Data EM2040'!$H$4:$H$11</f>
            </numRef>
          </cat>
          <val>
            <numRef>
              <f>'Endurance Data EM2040'!$K$4:$K$11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SOG - KNOTS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NM / LITER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3" customWidth="1" min="5" max="5"/>
    <col width="12" customWidth="1" min="6" max="6"/>
    <col width="9" customWidth="1" min="8" max="8"/>
    <col width="9" customWidth="1" min="9" max="9"/>
    <col width="10" customWidth="1" min="10" max="10"/>
    <col width="12" customWidth="1" min="11" max="11"/>
  </cols>
  <sheetData>
    <row r="1">
      <c r="A1" s="1" t="inlineStr">
        <is>
          <t>DriX 8 Endurance with EM2040 Gondola</t>
        </is>
      </c>
    </row>
    <row r="3">
      <c r="A3" s="1" t="inlineStr">
        <is>
          <t>RPM</t>
        </is>
      </c>
      <c r="B3" s="1" t="inlineStr">
        <is>
          <t>SOG - M/S*</t>
        </is>
      </c>
      <c r="C3" s="1" t="inlineStr">
        <is>
          <t>SOG - KNOTS*</t>
        </is>
      </c>
      <c r="D3" s="1" t="inlineStr">
        <is>
          <t>LPH</t>
        </is>
      </c>
      <c r="E3" s="1" t="inlineStr">
        <is>
          <t>PCT / HR</t>
        </is>
      </c>
      <c r="F3" s="1" t="inlineStr">
        <is>
          <t>NM / LITER</t>
        </is>
      </c>
      <c r="H3" s="1" t="inlineStr">
        <is>
          <t>KNOTS</t>
        </is>
      </c>
      <c r="I3" s="1" t="inlineStr">
        <is>
          <t>RPM*</t>
        </is>
      </c>
      <c r="J3" s="1" t="inlineStr">
        <is>
          <t>LPH</t>
        </is>
      </c>
      <c r="K3" s="1" t="inlineStr">
        <is>
          <t>NM / LITER</t>
        </is>
      </c>
    </row>
    <row r="4">
      <c r="A4" s="2" t="n">
        <v>0</v>
      </c>
      <c r="B4" s="3" t="n">
        <v>0</v>
      </c>
      <c r="C4" s="3">
        <f>B4*$B$15</f>
        <v/>
      </c>
      <c r="D4" s="3" t="n">
        <v>0</v>
      </c>
      <c r="E4" s="3">
        <f>D4*100/$B$16</f>
        <v/>
      </c>
      <c r="F4" s="3">
        <f>IF(D4&gt;0,C4/D4,0)</f>
        <v/>
      </c>
      <c r="H4" s="4" t="n">
        <v>4</v>
      </c>
      <c r="I4" s="4" t="n">
        <v>1079</v>
      </c>
      <c r="J4" s="3" t="n">
        <v>1.067051154</v>
      </c>
      <c r="K4" s="3">
        <f>H4/J4</f>
        <v/>
      </c>
      <c r="L4" s="5" t="inlineStr">
        <is>
          <t>†</t>
        </is>
      </c>
    </row>
    <row r="5">
      <c r="A5" s="2" t="n">
        <v>1000</v>
      </c>
      <c r="B5" s="3" t="n">
        <v>1.907687088</v>
      </c>
      <c r="C5" s="3">
        <f>B5*$B$15</f>
        <v/>
      </c>
      <c r="D5" s="3" t="n">
        <v>0.971029406</v>
      </c>
      <c r="E5" s="3">
        <f>D5*100/$B$16</f>
        <v/>
      </c>
      <c r="F5" s="3">
        <f>IF(D5&gt;0,C5/D5,0)</f>
        <v/>
      </c>
      <c r="G5" s="5" t="inlineStr">
        <is>
          <t>†</t>
        </is>
      </c>
      <c r="H5" s="4" t="n">
        <v>5</v>
      </c>
      <c r="I5" s="4" t="n">
        <v>1348</v>
      </c>
      <c r="J5" s="3" t="n">
        <v>1.448888037</v>
      </c>
      <c r="K5" s="3">
        <f>H5/J5</f>
        <v/>
      </c>
      <c r="L5" s="5" t="inlineStr">
        <is>
          <t>†</t>
        </is>
      </c>
    </row>
    <row r="6">
      <c r="A6" s="2" t="n">
        <v>1250</v>
      </c>
      <c r="B6" s="3" t="n">
        <v>2.38460886</v>
      </c>
      <c r="C6" s="3">
        <f>B6*$B$15</f>
        <v/>
      </c>
      <c r="D6" s="3" t="n">
        <v>1.299149316</v>
      </c>
      <c r="E6" s="3">
        <f>D6*100/$B$16</f>
        <v/>
      </c>
      <c r="F6" s="3">
        <f>IF(D6&gt;0,C6/D6,0)</f>
        <v/>
      </c>
      <c r="G6" s="5" t="inlineStr">
        <is>
          <t>†</t>
        </is>
      </c>
      <c r="H6" s="4" t="n">
        <v>6</v>
      </c>
      <c r="I6" s="4" t="n">
        <v>1618</v>
      </c>
      <c r="J6" s="3" t="n">
        <v>1.934341305</v>
      </c>
      <c r="K6" s="3">
        <f>H6/J6</f>
        <v/>
      </c>
    </row>
    <row r="7">
      <c r="A7" s="2" t="n">
        <v>1500</v>
      </c>
      <c r="B7" s="3" t="n">
        <v>2.861530631</v>
      </c>
      <c r="C7" s="3">
        <f>B7*$B$15</f>
        <v/>
      </c>
      <c r="D7" s="3" t="n">
        <v>1.707296906</v>
      </c>
      <c r="E7" s="3">
        <f>D7*100/$B$16</f>
        <v/>
      </c>
      <c r="F7" s="3">
        <f>IF(D7&gt;0,C7/D7,0)</f>
        <v/>
      </c>
      <c r="H7" s="4" t="n">
        <v>7</v>
      </c>
      <c r="I7" s="4" t="n">
        <v>1888</v>
      </c>
      <c r="J7" s="3" t="n">
        <v>2.552204331</v>
      </c>
      <c r="K7" s="3">
        <f>H7/J7</f>
        <v/>
      </c>
    </row>
    <row r="8">
      <c r="A8" s="2" t="n">
        <v>1750</v>
      </c>
      <c r="B8" s="3" t="n">
        <v>3.338452403</v>
      </c>
      <c r="C8" s="3">
        <f>B8*$B$15</f>
        <v/>
      </c>
      <c r="D8" s="3" t="n">
        <v>2.218413502</v>
      </c>
      <c r="E8" s="3">
        <f>D8*100/$B$16</f>
        <v/>
      </c>
      <c r="F8" s="3">
        <f>IF(D8&gt;0,C8/D8,0)</f>
        <v/>
      </c>
      <c r="H8" s="4" t="n">
        <v>8</v>
      </c>
      <c r="I8" s="4" t="n">
        <v>2157</v>
      </c>
      <c r="J8" s="3" t="n">
        <v>3.33127049</v>
      </c>
      <c r="K8" s="3">
        <f>H8/J8</f>
        <v/>
      </c>
    </row>
    <row r="9">
      <c r="A9" s="2" t="n">
        <v>2000</v>
      </c>
      <c r="B9" s="3" t="n">
        <v>3.815374175</v>
      </c>
      <c r="C9" s="3">
        <f>B9*$B$15</f>
        <v/>
      </c>
      <c r="D9" s="3" t="n">
        <v>2.855440434</v>
      </c>
      <c r="E9" s="3">
        <f>D9*100/$B$16</f>
        <v/>
      </c>
      <c r="F9" s="3">
        <f>IF(D9&gt;0,C9/D9,0)</f>
        <v/>
      </c>
      <c r="H9" s="4" t="n">
        <v>9</v>
      </c>
      <c r="I9" s="4" t="n">
        <v>2427</v>
      </c>
      <c r="J9" s="3" t="n">
        <v>4.300333155</v>
      </c>
      <c r="K9" s="3">
        <f>H9/J9</f>
        <v/>
      </c>
    </row>
    <row r="10">
      <c r="A10" s="2" t="n">
        <v>2250</v>
      </c>
      <c r="B10" s="3" t="n">
        <v>4.292295947</v>
      </c>
      <c r="C10" s="3">
        <f>B10*$B$15</f>
        <v/>
      </c>
      <c r="D10" s="3" t="n">
        <v>3.64131903</v>
      </c>
      <c r="E10" s="3">
        <f>D10*100/$B$16</f>
        <v/>
      </c>
      <c r="F10" s="3">
        <f>IF(D10&gt;0,C10/D10,0)</f>
        <v/>
      </c>
      <c r="H10" s="4" t="n">
        <v>10</v>
      </c>
      <c r="I10" s="4" t="n">
        <v>2697</v>
      </c>
      <c r="J10" s="3" t="n">
        <v>5.488185698</v>
      </c>
      <c r="K10" s="3">
        <f>H10/J10</f>
        <v/>
      </c>
    </row>
    <row r="11">
      <c r="A11" s="2" t="n">
        <v>2500</v>
      </c>
      <c r="B11" s="3" t="n">
        <v>4.769217719</v>
      </c>
      <c r="C11" s="3">
        <f>B11*$B$15</f>
        <v/>
      </c>
      <c r="D11" s="3" t="n">
        <v>4.598990616</v>
      </c>
      <c r="E11" s="3">
        <f>D11*100/$B$16</f>
        <v/>
      </c>
      <c r="F11" s="3">
        <f>IF(D11&gt;0,C11/D11,0)</f>
        <v/>
      </c>
      <c r="H11" s="4" t="n">
        <v>11</v>
      </c>
      <c r="I11" s="4" t="n">
        <v>2966</v>
      </c>
      <c r="J11" s="3" t="n">
        <v>6.923621495</v>
      </c>
      <c r="K11" s="3">
        <f>H11/J11</f>
        <v/>
      </c>
    </row>
    <row r="12">
      <c r="A12" s="2" t="n">
        <v>2750</v>
      </c>
      <c r="B12" s="3" t="n">
        <v>5.246139491</v>
      </c>
      <c r="C12" s="3">
        <f>B12*$B$15</f>
        <v/>
      </c>
      <c r="D12" s="3" t="n">
        <v>5.751396522</v>
      </c>
      <c r="E12" s="3">
        <f>D12*100/$B$16</f>
        <v/>
      </c>
      <c r="F12" s="3">
        <f>IF(D12&gt;0,C12/D12,0)</f>
        <v/>
      </c>
      <c r="H12" s="5" t="inlineStr">
        <is>
          <t>Chart source — whole-knot steps from the same measured laws; † below the 1400 rpm window.</t>
        </is>
      </c>
    </row>
    <row r="13">
      <c r="A13" s="2" t="n">
        <v>3000</v>
      </c>
      <c r="B13" s="3" t="n">
        <v>5.723061263</v>
      </c>
      <c r="C13" s="3">
        <f>B13*$B$15</f>
        <v/>
      </c>
      <c r="D13" s="3" t="n">
        <v>7.121478076</v>
      </c>
      <c r="E13" s="3">
        <f>D13*100/$B$16</f>
        <v/>
      </c>
      <c r="F13" s="3">
        <f>IF(D13&gt;0,C13/D13,0)</f>
        <v/>
      </c>
    </row>
    <row r="14">
      <c r="A14" s="6" t="inlineStr">
        <is>
          <t>* NOTE Actual SOG will vary with conditions - these are nominal values ONLY</t>
        </is>
      </c>
    </row>
    <row r="15">
      <c r="A15" s="1" t="inlineStr">
        <is>
          <t>M/S / Knot</t>
        </is>
      </c>
      <c r="B15" s="2" t="n">
        <v>1.94384</v>
      </c>
    </row>
    <row r="16">
      <c r="A16" s="1" t="inlineStr">
        <is>
          <t>Tank L</t>
        </is>
      </c>
      <c r="B16" s="2" t="n">
        <v>250</v>
      </c>
    </row>
    <row r="17">
      <c r="A17" s="5" t="inlineStr">
        <is>
          <t>Source: DriX-8 MCAP logs 04-09 Aug 2026 (EM2040 fitted) — 4.85 h steady cruise, flow meter vs thruster RPM.</t>
        </is>
      </c>
    </row>
    <row r="18">
      <c r="A18" s="5" t="inlineStr">
        <is>
          <t>Fuel law (through origin) L/H = 1.0038e-03·RPM -2.7743e-07·RPM² +2.4471e-10·RPM³  (R² 0.9996),</t>
        </is>
      </c>
    </row>
    <row r="19">
      <c r="A19" s="5" t="inlineStr">
        <is>
          <t>anchored by (0,0) and the measured 0.95 L/H station-keeping figure at ~1005 rpm.</t>
        </is>
      </c>
    </row>
    <row r="20">
      <c r="A20" s="5" t="inlineStr">
        <is>
          <t>Speed law (through origin) KNOTS = 0.003708·RPM  (R² 0.949; SOG-based, ±5-8% tidal).</t>
        </is>
      </c>
    </row>
    <row r="21">
      <c r="A21" s="5" t="inlineStr">
        <is>
          <t>Both agree with the primary in-band laws (planner model.json) to ≤3.7% in-window, 0.3% at 8 kt.</t>
        </is>
      </c>
    </row>
    <row r="22">
      <c r="A22" s="5" t="inlineStr">
        <is>
          <t>Drivetrain: direct drive, shaft rpm = engine rpm (trawling motor unused). 0 rpm = engine OFF = 0 L/H.</t>
        </is>
      </c>
    </row>
    <row r="23">
      <c r="A23" s="5" t="inlineStr">
        <is>
          <t>The engine idles at ~1000 rpm (≈0.95 L/H — the 1000 row) and engages at ~1100 minimum:</t>
        </is>
      </c>
    </row>
    <row r="24">
      <c r="A24" s="5" t="inlineStr">
        <is>
          <t>the 0-1000 rpm band is not an operating region; the curve merely passes through it.</t>
        </is>
      </c>
    </row>
    <row r="25">
      <c r="A25" s="5" t="inlineStr">
        <is>
          <t>† outside the cruise-measured 1400-3100 rpm window (extrapolated toward the idle/origin anchors).</t>
        </is>
      </c>
    </row>
    <row r="26">
      <c r="A26" s="5" t="inlineStr">
        <is>
          <t>PCT/HR is computed on the 250 L nominal tank (cell B16), which implies 2.50 L per indicated point.</t>
        </is>
      </c>
    </row>
    <row r="27">
      <c r="A27" s="5" t="inlineStr">
        <is>
          <t>THE GAUGE IS MEASURED AT 2.06 ± 0.11 L/POINT (72-86% band) — 4σ below that — so the needle</t>
        </is>
      </c>
    </row>
    <row r="28">
      <c r="A28" s="5" t="inlineStr">
        <is>
          <t>falls about 21% FASTER than this column shows. Set B16 = 206 to read PCT/HR on the measured scale.</t>
        </is>
      </c>
    </row>
    <row r="29">
      <c r="A29" s="5" t="inlineStr">
        <is>
          <t>The 25% floor is a needle position: on the measured scale a mission may spend about 154 L before reaching it, against 188 L on a linear tank.</t>
        </is>
      </c>
    </row>
    <row r="30">
      <c r="A30" s="5" t="inlineStr">
        <is>
          <t>Gauge non-linearity is UNRESOLVED (per-day spread only 1.5σ), not established; every reading is from the top third</t>
        </is>
      </c>
    </row>
    <row r="31">
      <c r="A31" s="5" t="inlineStr">
        <is>
          <t>of the tank and the reserve band itself has never been calibrated. See DriX8_Fuel_Gauge_Linearity.docx.</t>
        </is>
      </c>
    </row>
    <row r="32">
      <c r="A32" s="5" t="inlineStr">
        <is>
          <t>Full derivation: DriX_Fuel_Efficiency_Report §5.5 and the AndyMcLeod/DriX-Fuel-Planner repo.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2026-08-11T13:47:10Z</dcterms:created>
  <dcterms:modified xmlns:dcterms="http://purl.org/dc/terms/" xmlns:xsi="http://www.w3.org/2001/XMLSchema-instance" xsi:type="dcterms:W3CDTF">2026-08-11T13:47:10Z</dcterms:modified>
</cp:coreProperties>
</file>